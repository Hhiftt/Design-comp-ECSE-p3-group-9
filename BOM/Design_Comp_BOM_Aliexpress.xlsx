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/>
  <mc:AlternateContent xmlns:mc="http://schemas.openxmlformats.org/markup-compatibility/2006">
    <mc:Choice Requires="x15">
      <x15ac:absPath xmlns:x15ac="http://schemas.microsoft.com/office/spreadsheetml/2010/11/ac" url="https://uoa-my.sharepoint.com/personal/ihaw911_uoa_auckland_ac_nz/Documents/"/>
    </mc:Choice>
  </mc:AlternateContent>
  <xr:revisionPtr revIDLastSave="0" documentId="8_{EF868586-88D2-4B4C-B033-9E25EF8BB9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urchase Request" sheetId="2" r:id="rId1"/>
    <sheet name="Admin-Data" sheetId="3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2" l="1"/>
  <c r="G2" i="2"/>
  <c r="I2" i="2" s="1"/>
  <c r="G3" i="2"/>
  <c r="I3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 l="1"/>
</calcChain>
</file>

<file path=xl/sharedStrings.xml><?xml version="1.0" encoding="utf-8"?>
<sst xmlns="http://schemas.openxmlformats.org/spreadsheetml/2006/main" count="51" uniqueCount="39">
  <si>
    <t>Item</t>
  </si>
  <si>
    <t>Vendor Name</t>
  </si>
  <si>
    <t>Vendor Part Number</t>
  </si>
  <si>
    <t>Item Description</t>
  </si>
  <si>
    <t>Currency (eg, USD, AUD, Euro)</t>
  </si>
  <si>
    <t>Unit Price (Vendor Currency)</t>
  </si>
  <si>
    <t>Exchange Rate</t>
  </si>
  <si>
    <t>Quantity</t>
  </si>
  <si>
    <t>Total Price (NZD)</t>
  </si>
  <si>
    <t>In Stock</t>
  </si>
  <si>
    <t>Estimated Delivery Time</t>
  </si>
  <si>
    <t>Team Name</t>
  </si>
  <si>
    <t>Link</t>
  </si>
  <si>
    <t>e.g.,</t>
  </si>
  <si>
    <t>Digikey NZ</t>
  </si>
  <si>
    <t>497-ISM330ISNTRCT-ND</t>
  </si>
  <si>
    <t>Accelerometer, Gyroscope, Temperature, 6 Axis Sensor I2C, SPI Output</t>
  </si>
  <si>
    <t>NZD</t>
  </si>
  <si>
    <t>Yes</t>
  </si>
  <si>
    <t>2WK</t>
  </si>
  <si>
    <t>dc-pY-teamXX</t>
  </si>
  <si>
    <t>AliExpress</t>
  </si>
  <si>
    <t>Smooth Orange Peel Reflector for convoy T2 T3 Flashlight 5mm Bottom Hole</t>
  </si>
  <si>
    <t>Team 9</t>
  </si>
  <si>
    <t>https://www.aliexpress.com/item/1005006968786576.html?spm=a2g0o.productlist.main.5.40a0573cYdg1aP&amp;algo_pvid=dd6a4b06-fa28-4187-9ad3-a5d79909949b&amp;pdp_ext_f=%7B%22order%22%3A%2261%22%2C%22eval%22%3A%221%22%2C%22fromPage%22%3A%22search%22%7D&amp;utparam-url=scene%3Asearch%7Cquery_from%3A%7Cx_object_id%3A1005006968786576%7C_p_origin_prod%3A</t>
  </si>
  <si>
    <t>(Do not provide batteries)Cat Keychain Fun Red Light Portable Laser pointer LED Training Torch Pet Cat Tickle Toy Flashlight</t>
  </si>
  <si>
    <t>https://www.aliexpress.com/item/1005010560608475.html?spm=a2g0o.productlist.main.5.1eba2040ET3gwx&amp;algo_pvid=b5c9de02-0086-4e44-bfdb-f6458cc204b4&amp;pdp_ext_f=%7B%22order%22%3A%22968%22%2C%22eval%22%3A%221%22%2C%22fromPage%22%3A%22search%22%7D&amp;utparam-url=scene%3Asearch%7Cquery_from%3A%7Cx_object_id%3A1005010560608475%7C_p_origin_prod%3A</t>
  </si>
  <si>
    <t>Total (NZD)</t>
  </si>
  <si>
    <t>Suppliers</t>
  </si>
  <si>
    <t>Element14 NZ</t>
  </si>
  <si>
    <t>Jaycar NZ</t>
  </si>
  <si>
    <t>RS Comp NZ</t>
  </si>
  <si>
    <t>Ebay</t>
  </si>
  <si>
    <t>Amazon AU</t>
  </si>
  <si>
    <t>Currency</t>
  </si>
  <si>
    <t>AUD</t>
  </si>
  <si>
    <t>USD</t>
  </si>
  <si>
    <t>EUR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</si>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</sst>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right"/>
    </xf>
    <xf numFmtId="0" fontId="2" fillId="0" borderId="8" xfId="0" applyFont="1" applyBorder="1" applyAlignment="1">
      <alignment horizontal="center" textRotation="90" wrapText="1"/>
    </xf>
    <xf numFmtId="0" fontId="2" fillId="0" borderId="9" xfId="0" applyFont="1" applyBorder="1" applyAlignment="1">
      <alignment horizontal="center" textRotation="90" wrapText="1"/>
    </xf>
    <xf numFmtId="0" fontId="2" fillId="0" borderId="10" xfId="0" applyFont="1" applyBorder="1" applyAlignment="1">
      <alignment horizontal="center" textRotation="90" wrapText="1"/>
    </xf>
    <xf numFmtId="165" fontId="2" fillId="0" borderId="9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4" xfId="1" applyBorder="1" applyAlignment="1" applyProtection="1">
      <alignment horizontal="left" vertical="center" wrapText="1"/>
    </xf>
    <xf numFmtId="0" fontId="4" fillId="0" borderId="6" xfId="1" applyBorder="1" applyAlignment="1" applyProtection="1">
      <alignment horizontal="left" vertical="center" wrapText="1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5">
    <cellStyle name="Currency 2" xfId="2" xr:uid="{00000000-0005-0000-0000-000001000000}"/>
    <cellStyle name="Currency 3" xfId="4" xr:uid="{00000000-0005-0000-0000-000002000000}"/>
    <cellStyle name="Hyperlink" xfId="1" builtinId="8"/>
    <cellStyle name="Hyperlink 2" xfId="3" xr:uid="{00000000-0005-0000-0000-000004000000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ck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bottom style="thick">
          <color auto="1"/>
        </bottom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9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12</xdr:col>
      <xdr:colOff>6350</xdr:colOff>
      <xdr:row>36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46F0CF-46D2-1438-71FC-22F034B8F644}"/>
            </a:ext>
          </a:extLst>
        </xdr:cNvPr>
        <xdr:cNvSpPr txBox="1"/>
      </xdr:nvSpPr>
      <xdr:spPr>
        <a:xfrm>
          <a:off x="361950" y="8299450"/>
          <a:ext cx="1294765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u="sng">
              <a:solidFill>
                <a:schemeClr val="dk1"/>
              </a:solidFill>
              <a:latin typeface="+mn-lt"/>
              <a:ea typeface="+mn-lt"/>
              <a:cs typeface="+mn-lt"/>
            </a:rPr>
            <a:t>Project Brief:</a:t>
          </a:r>
        </a:p>
        <a:p>
          <a:pPr marL="0" indent="0"/>
          <a:r>
            <a:rPr lang="en-US" sz="1100" b="1" u="sng">
              <a:solidFill>
                <a:schemeClr val="dk1"/>
              </a:solidFill>
              <a:latin typeface="+mn-lt"/>
              <a:ea typeface="+mn-lt"/>
              <a:cs typeface="+mn-lt"/>
            </a:rPr>
            <a:t>We want to make a rythym based game that uses light as an input, to do this we want the laser pointers so people can control them to hit the photodiodes to a rythym. we want two poeple to be able to play at once to compete against each other.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7FC05-92D3-4F2D-A93F-39D7010E567C}" name="Table3" displayName="Table3" ref="A1:M22" totalsRowShown="0" headerRowDxfId="16" dataDxfId="15" headerRowBorderDxfId="13" tableBorderDxfId="14">
  <autoFilter ref="A1:M22" xr:uid="{6D87FC05-92D3-4F2D-A93F-39D7010E567C}"/>
  <tableColumns count="13">
    <tableColumn id="1" xr3:uid="{4371B550-72D7-42C3-9FAF-85E27EAC1239}" name="Item" dataDxfId="12"/>
    <tableColumn id="2" xr3:uid="{782AEA5C-FC8E-4839-85F2-BAD6B52DA0FC}" name="Vendor Name" dataDxfId="11"/>
    <tableColumn id="3" xr3:uid="{1AE7ABC5-192A-41E5-888C-89FF13617C29}" name="Vendor Part Number" dataDxfId="10"/>
    <tableColumn id="4" xr3:uid="{ED026A11-6022-4984-8584-9B327ED73654}" name="Item Description" dataDxfId="9"/>
    <tableColumn id="5" xr3:uid="{C2631C83-DF9C-4ECD-94EC-0071B1896D0A}" name="Currency (eg, USD, AUD, Euro)" dataDxfId="8"/>
    <tableColumn id="6" xr3:uid="{CDC77C5F-9F4F-490F-8BC9-9EC6E0E72381}" name="Unit Price (Vendor Currency)" dataDxfId="7"/>
    <tableColumn id="7" xr3:uid="{41D66ED6-0B5E-47CF-BA82-EDC1B77B6EF1}" name="Exchange Rate" dataDxfId="6">
      <calculatedColumnFormula>_xlfn.XLOOKUP(Table3[[#This Row],[Currency (eg, USD, AUD, Euro)]],'Admin-Data'!$A$11:$A$15,'Admin-Data'!$B$11:$B$15,0)</calculatedColumnFormula>
    </tableColumn>
    <tableColumn id="8" xr3:uid="{1CE833A7-B4EC-4DAF-A6EB-AC346FFBDDF2}" name="Quantity" dataDxfId="5"/>
    <tableColumn id="9" xr3:uid="{073401CC-02C3-4CF7-9FF9-2081A4755331}" name="Total Price (NZD)" dataDxfId="4">
      <calculatedColumnFormula>Table3[[#This Row],[Unit Price (Vendor Currency)]]*Table3[[#This Row],[Exchange Rate]]*Table3[[#This Row],[Quantity]]</calculatedColumnFormula>
    </tableColumn>
    <tableColumn id="10" xr3:uid="{554C52D0-0B7A-4347-9E29-241939E4464A}" name="In Stock" dataDxfId="3"/>
    <tableColumn id="11" xr3:uid="{436165DF-506F-4258-8294-884B08A0C013}" name="Estimated Delivery Time" dataDxfId="2"/>
    <tableColumn id="12" xr3:uid="{F7B619AD-BDA9-4412-BA4F-0C525AC084DA}" name="Team Name" dataDxfId="1"/>
    <tableColumn id="13" xr3:uid="{E9FB218A-944F-4348-BD3A-EF332036F955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express.com/item/1005010560608475.html?spm=a2g0o.productlist.main.5.1eba2040ET3gwx&amp;algo_pvid=b5c9de02-0086-4e44-bfdb-f6458cc204b4&amp;pdp_ext_f=%7B%22order%22%3A%22968%22%2C%22eval%22%3A%221%22%2C%22fromPage%22%3A%22search%22%7D&amp;utparam-url=scene%3Asearch%7Cquery_from%3A%7Cx_object_id%3A1005010560608475%7C_p_origin_prod%3A" TargetMode="External"/><Relationship Id="rId1" Type="http://schemas.openxmlformats.org/officeDocument/2006/relationships/hyperlink" Target="https://www.aliexpress.com/item/1005006968786576.html?spm=a2g0o.productlist.main.5.40a0573cYdg1aP&amp;algo_pvid=dd6a4b06-fa28-4187-9ad3-a5d79909949b&amp;pdp_ext_f=%7B%22order%22%3A%2261%22%2C%22eval%22%3A%221%22%2C%22fromPage%22%3A%22search%22%7D&amp;utparam-url=scene%3Asearch%7Cquery_from%3A%7Cx_object_id%3A1005006968786576%7C_p_origin_prod%3A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"/>
  <sheetViews>
    <sheetView tabSelected="1" workbookViewId="0">
      <pane xSplit="1" ySplit="1" topLeftCell="B2" activePane="bottomRight" state="frozen"/>
      <selection pane="bottomRight" activeCell="D8" sqref="D8"/>
      <selection pane="bottomLeft" activeCell="A3" sqref="A3"/>
      <selection pane="topRight" activeCell="B1" sqref="B1"/>
    </sheetView>
  </sheetViews>
  <sheetFormatPr defaultColWidth="8.85546875" defaultRowHeight="12.75"/>
  <cols>
    <col min="1" max="1" width="5.140625" customWidth="1"/>
    <col min="2" max="2" width="18.85546875" bestFit="1" customWidth="1"/>
    <col min="3" max="3" width="26.5703125" customWidth="1"/>
    <col min="4" max="4" width="33.42578125" customWidth="1"/>
    <col min="5" max="5" width="11.5703125" customWidth="1"/>
    <col min="6" max="6" width="11.5703125" style="1" customWidth="1"/>
    <col min="7" max="11" width="11.5703125" customWidth="1"/>
    <col min="12" max="12" width="25" customWidth="1"/>
    <col min="13" max="13" width="32.7109375" customWidth="1"/>
  </cols>
  <sheetData>
    <row r="1" spans="1:13" ht="65.650000000000006" customHeight="1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50.25" customHeight="1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>
        <v>5.45</v>
      </c>
      <c r="G2" s="10">
        <f>_xlfn.XLOOKUP(Table3[[#This Row],[Currency (eg, USD, AUD, Euro)]],'Admin-Data'!$A$11:$A$15,'Admin-Data'!$B$11:$B$15,0)</f>
        <v>1</v>
      </c>
      <c r="H2" s="10">
        <v>0</v>
      </c>
      <c r="I2" s="10">
        <f>Table3[[#This Row],[Unit Price (Vendor Currency)]]*Table3[[#This Row],[Exchange Rate]]*Table3[[#This Row],[Quantity]]</f>
        <v>0</v>
      </c>
      <c r="J2" s="10" t="s">
        <v>18</v>
      </c>
      <c r="K2" s="10" t="s">
        <v>19</v>
      </c>
      <c r="L2" s="10" t="s">
        <v>20</v>
      </c>
      <c r="M2" s="14" t="str">
        <f>HYPERLINK("https://www.digikey.com/en/products/detail/stmicroelectronics/ISM330ISNTR/16752581",Table3[[#This Row],[Vendor Name]])</f>
        <v>Digikey NZ</v>
      </c>
    </row>
    <row r="3" spans="1:13" ht="25.15" customHeight="1">
      <c r="A3" s="11">
        <v>1</v>
      </c>
      <c r="B3" s="8" t="s">
        <v>21</v>
      </c>
      <c r="C3" s="8"/>
      <c r="D3" s="8" t="s">
        <v>22</v>
      </c>
      <c r="E3" s="8" t="s">
        <v>17</v>
      </c>
      <c r="F3" s="8">
        <v>6.04</v>
      </c>
      <c r="G3" s="8">
        <f>_xlfn.XLOOKUP(Table3[[#This Row],[Currency (eg, USD, AUD, Euro)]],'Admin-Data'!$A$11:$A$15,'Admin-Data'!$B$11:$B$15,0)</f>
        <v>1</v>
      </c>
      <c r="H3" s="8">
        <v>7</v>
      </c>
      <c r="I3" s="8">
        <f>Table3[[#This Row],[Unit Price (Vendor Currency)]]*Table3[[#This Row],[Exchange Rate]]*Table3[[#This Row],[Quantity]]</f>
        <v>42.28</v>
      </c>
      <c r="J3" s="8" t="s">
        <v>18</v>
      </c>
      <c r="K3" s="8" t="s">
        <v>19</v>
      </c>
      <c r="L3" s="8" t="s">
        <v>23</v>
      </c>
      <c r="M3" s="15" t="s">
        <v>24</v>
      </c>
    </row>
    <row r="4" spans="1:13" ht="25.15" customHeight="1">
      <c r="A4" s="11">
        <v>2</v>
      </c>
      <c r="B4" s="8" t="s">
        <v>21</v>
      </c>
      <c r="C4" s="8"/>
      <c r="D4" s="8" t="s">
        <v>25</v>
      </c>
      <c r="E4" s="8" t="s">
        <v>17</v>
      </c>
      <c r="F4" s="8">
        <v>13.92</v>
      </c>
      <c r="G4" s="8">
        <f>_xlfn.XLOOKUP(Table3[[#This Row],[Currency (eg, USD, AUD, Euro)]],'Admin-Data'!$A$11:$A$15,'Admin-Data'!$B$11:$B$15,0)</f>
        <v>1</v>
      </c>
      <c r="H4" s="8">
        <v>2</v>
      </c>
      <c r="I4" s="8">
        <f>Table3[[#This Row],[Unit Price (Vendor Currency)]]*Table3[[#This Row],[Exchange Rate]]*Table3[[#This Row],[Quantity]]</f>
        <v>27.84</v>
      </c>
      <c r="J4" s="8" t="s">
        <v>18</v>
      </c>
      <c r="K4" s="8" t="s">
        <v>19</v>
      </c>
      <c r="L4" s="8" t="s">
        <v>23</v>
      </c>
      <c r="M4" s="15" t="s">
        <v>26</v>
      </c>
    </row>
    <row r="5" spans="1:13" ht="25.15" customHeight="1">
      <c r="A5" s="11">
        <v>3</v>
      </c>
      <c r="B5" s="8"/>
      <c r="C5" s="8"/>
      <c r="D5" s="8"/>
      <c r="E5" s="8"/>
      <c r="F5" s="8"/>
      <c r="G5" s="8">
        <f>_xlfn.XLOOKUP(Table3[[#This Row],[Currency (eg, USD, AUD, Euro)]],'Admin-Data'!$A$11:$A$15,'Admin-Data'!$B$11:$B$15,0)</f>
        <v>0</v>
      </c>
      <c r="H5" s="8"/>
      <c r="I5" s="8">
        <f>Table3[[#This Row],[Unit Price (Vendor Currency)]]*Table3[[#This Row],[Exchange Rate]]*Table3[[#This Row],[Quantity]]</f>
        <v>0</v>
      </c>
      <c r="J5" s="8"/>
      <c r="K5" s="8"/>
      <c r="L5" s="8"/>
      <c r="M5" s="12"/>
    </row>
    <row r="6" spans="1:13" ht="25.15" customHeight="1" thickBot="1">
      <c r="A6" s="11">
        <v>4</v>
      </c>
      <c r="B6" s="8"/>
      <c r="C6" s="8"/>
      <c r="D6" s="8"/>
      <c r="E6" s="8"/>
      <c r="F6" s="8"/>
      <c r="G6" s="8">
        <f>_xlfn.XLOOKUP(Table3[[#This Row],[Currency (eg, USD, AUD, Euro)]],'Admin-Data'!$A$11:$A$15,'Admin-Data'!$B$11:$B$15,0)</f>
        <v>0</v>
      </c>
      <c r="H6" s="8"/>
      <c r="I6" s="8">
        <f>Table3[[#This Row],[Unit Price (Vendor Currency)]]*Table3[[#This Row],[Exchange Rate]]*Table3[[#This Row],[Quantity]]</f>
        <v>0</v>
      </c>
      <c r="J6" s="8"/>
      <c r="K6" s="8"/>
      <c r="L6" s="8"/>
      <c r="M6" s="12"/>
    </row>
    <row r="7" spans="1:13" ht="25.15" customHeight="1" thickBot="1">
      <c r="A7" s="11">
        <v>5</v>
      </c>
      <c r="B7" s="8"/>
      <c r="C7" s="8"/>
      <c r="D7" s="8"/>
      <c r="E7" s="8"/>
      <c r="F7" s="8"/>
      <c r="G7" s="8">
        <f>_xlfn.XLOOKUP(Table3[[#This Row],[Currency (eg, USD, AUD, Euro)]],'Admin-Data'!$A$11:$A$15,'Admin-Data'!$B$11:$B$15,0)</f>
        <v>0</v>
      </c>
      <c r="H7" s="8"/>
      <c r="I7" s="8">
        <f>Table3[[#This Row],[Unit Price (Vendor Currency)]]*Table3[[#This Row],[Exchange Rate]]*Table3[[#This Row],[Quantity]]</f>
        <v>0</v>
      </c>
      <c r="J7" s="8"/>
      <c r="K7" s="8"/>
      <c r="L7" s="8"/>
      <c r="M7" s="12"/>
    </row>
    <row r="8" spans="1:13" ht="25.15" customHeight="1" thickBot="1">
      <c r="A8" s="11">
        <v>6</v>
      </c>
      <c r="B8" s="8"/>
      <c r="C8" s="8"/>
      <c r="D8" s="8"/>
      <c r="E8" s="8"/>
      <c r="F8" s="8"/>
      <c r="G8" s="8">
        <f>_xlfn.XLOOKUP(Table3[[#This Row],[Currency (eg, USD, AUD, Euro)]],'Admin-Data'!$A$11:$A$15,'Admin-Data'!$B$11:$B$15,0)</f>
        <v>0</v>
      </c>
      <c r="H8" s="8"/>
      <c r="I8" s="8">
        <f>Table3[[#This Row],[Unit Price (Vendor Currency)]]*Table3[[#This Row],[Exchange Rate]]*Table3[[#This Row],[Quantity]]</f>
        <v>0</v>
      </c>
      <c r="J8" s="8"/>
      <c r="K8" s="8"/>
      <c r="L8" s="8"/>
      <c r="M8" s="12"/>
    </row>
    <row r="9" spans="1:13" ht="25.15" customHeight="1">
      <c r="A9" s="11">
        <v>7</v>
      </c>
      <c r="B9" s="8"/>
      <c r="C9" s="8"/>
      <c r="D9" s="8"/>
      <c r="E9" s="8"/>
      <c r="F9" s="8"/>
      <c r="G9" s="8">
        <f>_xlfn.XLOOKUP(Table3[[#This Row],[Currency (eg, USD, AUD, Euro)]],'Admin-Data'!$A$11:$A$15,'Admin-Data'!$B$11:$B$15,0)</f>
        <v>0</v>
      </c>
      <c r="H9" s="8"/>
      <c r="I9" s="8">
        <f>Table3[[#This Row],[Unit Price (Vendor Currency)]]*Table3[[#This Row],[Exchange Rate]]*Table3[[#This Row],[Quantity]]</f>
        <v>0</v>
      </c>
      <c r="J9" s="8"/>
      <c r="K9" s="8"/>
      <c r="L9" s="8"/>
      <c r="M9" s="12"/>
    </row>
    <row r="10" spans="1:13" ht="25.15" customHeight="1" thickBot="1">
      <c r="A10" s="11">
        <v>8</v>
      </c>
      <c r="B10" s="8"/>
      <c r="C10" s="8"/>
      <c r="D10" s="8"/>
      <c r="E10" s="8"/>
      <c r="F10" s="8"/>
      <c r="G10" s="8">
        <f>_xlfn.XLOOKUP(Table3[[#This Row],[Currency (eg, USD, AUD, Euro)]],'Admin-Data'!$A$11:$A$15,'Admin-Data'!$B$11:$B$15,0)</f>
        <v>0</v>
      </c>
      <c r="H10" s="8"/>
      <c r="I10" s="8">
        <f>Table3[[#This Row],[Unit Price (Vendor Currency)]]*Table3[[#This Row],[Exchange Rate]]*Table3[[#This Row],[Quantity]]</f>
        <v>0</v>
      </c>
      <c r="J10" s="8"/>
      <c r="K10" s="8"/>
      <c r="L10" s="8"/>
      <c r="M10" s="12"/>
    </row>
    <row r="11" spans="1:13" ht="25.15" customHeight="1" thickBot="1">
      <c r="A11" s="11">
        <v>9</v>
      </c>
      <c r="B11" s="8"/>
      <c r="C11" s="8"/>
      <c r="D11" s="8"/>
      <c r="E11" s="8"/>
      <c r="F11" s="8"/>
      <c r="G11" s="8">
        <f>_xlfn.XLOOKUP(Table3[[#This Row],[Currency (eg, USD, AUD, Euro)]],'Admin-Data'!$A$11:$A$15,'Admin-Data'!$B$11:$B$15,0)</f>
        <v>0</v>
      </c>
      <c r="H11" s="8"/>
      <c r="I11" s="8">
        <f>Table3[[#This Row],[Unit Price (Vendor Currency)]]*Table3[[#This Row],[Exchange Rate]]*Table3[[#This Row],[Quantity]]</f>
        <v>0</v>
      </c>
      <c r="J11" s="8"/>
      <c r="K11" s="8"/>
      <c r="L11" s="8"/>
      <c r="M11" s="12"/>
    </row>
    <row r="12" spans="1:13" ht="25.15" customHeight="1" thickBot="1">
      <c r="A12" s="11">
        <v>10</v>
      </c>
      <c r="B12" s="8"/>
      <c r="C12" s="8"/>
      <c r="D12" s="8"/>
      <c r="E12" s="8"/>
      <c r="F12" s="8"/>
      <c r="G12" s="8">
        <f>_xlfn.XLOOKUP(Table3[[#This Row],[Currency (eg, USD, AUD, Euro)]],'Admin-Data'!$A$11:$A$15,'Admin-Data'!$B$11:$B$15,0)</f>
        <v>0</v>
      </c>
      <c r="H12" s="8"/>
      <c r="I12" s="8">
        <f>Table3[[#This Row],[Unit Price (Vendor Currency)]]*Table3[[#This Row],[Exchange Rate]]*Table3[[#This Row],[Quantity]]</f>
        <v>0</v>
      </c>
      <c r="J12" s="8"/>
      <c r="K12" s="8"/>
      <c r="L12" s="8"/>
      <c r="M12" s="12"/>
    </row>
    <row r="13" spans="1:13" ht="25.15" customHeight="1" thickBot="1">
      <c r="A13" s="11">
        <v>11</v>
      </c>
      <c r="B13" s="8"/>
      <c r="C13" s="8"/>
      <c r="D13" s="8"/>
      <c r="E13" s="8"/>
      <c r="F13" s="8"/>
      <c r="G13" s="8">
        <f>_xlfn.XLOOKUP(Table3[[#This Row],[Currency (eg, USD, AUD, Euro)]],'Admin-Data'!$A$11:$A$15,'Admin-Data'!$B$11:$B$15,0)</f>
        <v>0</v>
      </c>
      <c r="H13" s="8"/>
      <c r="I13" s="8">
        <f>Table3[[#This Row],[Unit Price (Vendor Currency)]]*Table3[[#This Row],[Exchange Rate]]*Table3[[#This Row],[Quantity]]</f>
        <v>0</v>
      </c>
      <c r="J13" s="8"/>
      <c r="K13" s="8"/>
      <c r="L13" s="8"/>
      <c r="M13" s="12"/>
    </row>
    <row r="14" spans="1:13" ht="25.15" customHeight="1" thickBot="1">
      <c r="A14" s="11">
        <v>12</v>
      </c>
      <c r="B14" s="8"/>
      <c r="C14" s="8"/>
      <c r="D14" s="8"/>
      <c r="E14" s="8"/>
      <c r="F14" s="8"/>
      <c r="G14" s="8">
        <f>_xlfn.XLOOKUP(Table3[[#This Row],[Currency (eg, USD, AUD, Euro)]],'Admin-Data'!$A$11:$A$15,'Admin-Data'!$B$11:$B$15,0)</f>
        <v>0</v>
      </c>
      <c r="H14" s="8"/>
      <c r="I14" s="8">
        <f>Table3[[#This Row],[Unit Price (Vendor Currency)]]*Table3[[#This Row],[Exchange Rate]]*Table3[[#This Row],[Quantity]]</f>
        <v>0</v>
      </c>
      <c r="J14" s="8"/>
      <c r="K14" s="8"/>
      <c r="L14" s="8"/>
      <c r="M14" s="12"/>
    </row>
    <row r="15" spans="1:13" ht="25.15" customHeight="1" thickBot="1">
      <c r="A15" s="11">
        <v>13</v>
      </c>
      <c r="B15" s="8"/>
      <c r="C15" s="8"/>
      <c r="D15" s="8"/>
      <c r="E15" s="8"/>
      <c r="F15" s="8"/>
      <c r="G15" s="8">
        <f>_xlfn.XLOOKUP(Table3[[#This Row],[Currency (eg, USD, AUD, Euro)]],'Admin-Data'!$A$11:$A$15,'Admin-Data'!$B$11:$B$15,0)</f>
        <v>0</v>
      </c>
      <c r="H15" s="8"/>
      <c r="I15" s="8">
        <f>Table3[[#This Row],[Unit Price (Vendor Currency)]]*Table3[[#This Row],[Exchange Rate]]*Table3[[#This Row],[Quantity]]</f>
        <v>0</v>
      </c>
      <c r="J15" s="8"/>
      <c r="K15" s="8"/>
      <c r="L15" s="8"/>
      <c r="M15" s="12"/>
    </row>
    <row r="16" spans="1:13" ht="25.15" customHeight="1" thickBot="1">
      <c r="A16" s="11">
        <v>14</v>
      </c>
      <c r="B16" s="8"/>
      <c r="C16" s="8"/>
      <c r="D16" s="8"/>
      <c r="E16" s="8"/>
      <c r="F16" s="8"/>
      <c r="G16" s="8">
        <f>_xlfn.XLOOKUP(Table3[[#This Row],[Currency (eg, USD, AUD, Euro)]],'Admin-Data'!$A$11:$A$15,'Admin-Data'!$B$11:$B$15,0)</f>
        <v>0</v>
      </c>
      <c r="H16" s="8"/>
      <c r="I16" s="8">
        <f>Table3[[#This Row],[Unit Price (Vendor Currency)]]*Table3[[#This Row],[Exchange Rate]]*Table3[[#This Row],[Quantity]]</f>
        <v>0</v>
      </c>
      <c r="J16" s="8"/>
      <c r="K16" s="8"/>
      <c r="L16" s="8"/>
      <c r="M16" s="12"/>
    </row>
    <row r="17" spans="1:13" ht="25.15" customHeight="1" thickBot="1">
      <c r="A17" s="11">
        <v>15</v>
      </c>
      <c r="B17" s="8"/>
      <c r="C17" s="8"/>
      <c r="D17" s="8"/>
      <c r="E17" s="8"/>
      <c r="F17" s="8"/>
      <c r="G17" s="8">
        <f>_xlfn.XLOOKUP(Table3[[#This Row],[Currency (eg, USD, AUD, Euro)]],'Admin-Data'!$A$11:$A$15,'Admin-Data'!$B$11:$B$15,0)</f>
        <v>0</v>
      </c>
      <c r="H17" s="8"/>
      <c r="I17" s="8">
        <f>Table3[[#This Row],[Unit Price (Vendor Currency)]]*Table3[[#This Row],[Exchange Rate]]*Table3[[#This Row],[Quantity]]</f>
        <v>0</v>
      </c>
      <c r="J17" s="8"/>
      <c r="K17" s="8"/>
      <c r="L17" s="8"/>
      <c r="M17" s="12"/>
    </row>
    <row r="18" spans="1:13" ht="25.15" customHeight="1" thickBot="1">
      <c r="A18" s="11">
        <v>16</v>
      </c>
      <c r="B18" s="8"/>
      <c r="C18" s="8"/>
      <c r="D18" s="8"/>
      <c r="E18" s="8"/>
      <c r="F18" s="8"/>
      <c r="G18" s="8">
        <f>_xlfn.XLOOKUP(Table3[[#This Row],[Currency (eg, USD, AUD, Euro)]],'Admin-Data'!$A$11:$A$15,'Admin-Data'!$B$11:$B$15,0)</f>
        <v>0</v>
      </c>
      <c r="H18" s="8"/>
      <c r="I18" s="8">
        <f>Table3[[#This Row],[Unit Price (Vendor Currency)]]*Table3[[#This Row],[Exchange Rate]]*Table3[[#This Row],[Quantity]]</f>
        <v>0</v>
      </c>
      <c r="J18" s="8"/>
      <c r="K18" s="8"/>
      <c r="L18" s="8"/>
      <c r="M18" s="12"/>
    </row>
    <row r="19" spans="1:13" ht="25.15" customHeight="1" thickBot="1">
      <c r="A19" s="11">
        <v>17</v>
      </c>
      <c r="B19" s="8"/>
      <c r="C19" s="8"/>
      <c r="D19" s="8"/>
      <c r="E19" s="8"/>
      <c r="F19" s="8"/>
      <c r="G19" s="8">
        <f>_xlfn.XLOOKUP(Table3[[#This Row],[Currency (eg, USD, AUD, Euro)]],'Admin-Data'!$A$11:$A$15,'Admin-Data'!$B$11:$B$15,0)</f>
        <v>0</v>
      </c>
      <c r="H19" s="8"/>
      <c r="I19" s="8">
        <f>Table3[[#This Row],[Unit Price (Vendor Currency)]]*Table3[[#This Row],[Exchange Rate]]*Table3[[#This Row],[Quantity]]</f>
        <v>0</v>
      </c>
      <c r="J19" s="8"/>
      <c r="K19" s="8"/>
      <c r="L19" s="8"/>
      <c r="M19" s="12"/>
    </row>
    <row r="20" spans="1:13" ht="25.15" customHeight="1" thickBot="1">
      <c r="A20" s="11">
        <v>18</v>
      </c>
      <c r="B20" s="8"/>
      <c r="C20" s="8"/>
      <c r="D20" s="8"/>
      <c r="E20" s="8"/>
      <c r="F20" s="8"/>
      <c r="G20" s="8">
        <f>_xlfn.XLOOKUP(Table3[[#This Row],[Currency (eg, USD, AUD, Euro)]],'Admin-Data'!$A$11:$A$15,'Admin-Data'!$B$11:$B$15,0)</f>
        <v>0</v>
      </c>
      <c r="H20" s="8"/>
      <c r="I20" s="8">
        <f>Table3[[#This Row],[Unit Price (Vendor Currency)]]*Table3[[#This Row],[Exchange Rate]]*Table3[[#This Row],[Quantity]]</f>
        <v>0</v>
      </c>
      <c r="J20" s="8"/>
      <c r="K20" s="8"/>
      <c r="L20" s="8"/>
      <c r="M20" s="12"/>
    </row>
    <row r="21" spans="1:13" ht="25.15" customHeight="1" thickBot="1">
      <c r="A21" s="11">
        <v>19</v>
      </c>
      <c r="B21" s="8"/>
      <c r="C21" s="8"/>
      <c r="D21" s="8"/>
      <c r="E21" s="8"/>
      <c r="F21" s="8"/>
      <c r="G21" s="8">
        <f>_xlfn.XLOOKUP(Table3[[#This Row],[Currency (eg, USD, AUD, Euro)]],'Admin-Data'!$A$11:$A$15,'Admin-Data'!$B$11:$B$15,0)</f>
        <v>0</v>
      </c>
      <c r="H21" s="8"/>
      <c r="I21" s="8">
        <f>Table3[[#This Row],[Unit Price (Vendor Currency)]]*Table3[[#This Row],[Exchange Rate]]*Table3[[#This Row],[Quantity]]</f>
        <v>0</v>
      </c>
      <c r="J21" s="8"/>
      <c r="K21" s="8"/>
      <c r="L21" s="8"/>
      <c r="M21" s="12"/>
    </row>
    <row r="22" spans="1:13" ht="25.15" customHeight="1" thickBot="1">
      <c r="A22" s="11">
        <v>20</v>
      </c>
      <c r="B22" s="13"/>
      <c r="C22" s="13"/>
      <c r="D22" s="13"/>
      <c r="E22" s="13"/>
      <c r="F22" s="13"/>
      <c r="G22" s="13">
        <f>_xlfn.XLOOKUP(Table3[[#This Row],[Currency (eg, USD, AUD, Euro)]],'Admin-Data'!$A$11:$A$15,'Admin-Data'!$B$11:$B$15,0)</f>
        <v>0</v>
      </c>
      <c r="H22" s="13"/>
      <c r="I22" s="13">
        <f>Table3[[#This Row],[Unit Price (Vendor Currency)]]*Table3[[#This Row],[Exchange Rate]]*Table3[[#This Row],[Quantity]]</f>
        <v>0</v>
      </c>
      <c r="J22" s="13"/>
      <c r="K22" s="13"/>
      <c r="L22" s="13"/>
      <c r="M22" s="12"/>
    </row>
    <row r="23" spans="1:13" ht="25.15" customHeight="1" thickBot="1">
      <c r="A23" s="16" t="s">
        <v>27</v>
      </c>
      <c r="B23" s="17"/>
      <c r="C23" s="17"/>
      <c r="D23" s="17"/>
      <c r="E23" s="17"/>
      <c r="F23" s="17"/>
      <c r="G23" s="17"/>
      <c r="H23" s="18"/>
      <c r="I23" s="5">
        <f>SUM(Table3[Total Price (NZD)])</f>
        <v>70.12</v>
      </c>
      <c r="J23" s="19"/>
      <c r="K23" s="20"/>
      <c r="L23" s="20"/>
      <c r="M23" s="21"/>
    </row>
    <row r="24" spans="1:13" ht="13.15" thickTop="1"/>
  </sheetData>
  <mergeCells count="2">
    <mergeCell ref="A23:H23"/>
    <mergeCell ref="J23:M23"/>
  </mergeCells>
  <phoneticPr fontId="3" type="noConversion"/>
  <dataValidations count="2">
    <dataValidation type="list" allowBlank="1" showInputMessage="1" showErrorMessage="1" sqref="J2:J22" xr:uid="{E0961AA7-31F2-4653-9476-0E2BDD7641F6}">
      <formula1>"Yes, No"</formula1>
    </dataValidation>
    <dataValidation type="list" allowBlank="1" showInputMessage="1" showErrorMessage="1" sqref="K2:K22" xr:uid="{1312CCB6-F799-4A25-A4CE-5B836880703A}">
      <formula1>"1WK, 2WK, 3Wk, 4WK"</formula1>
    </dataValidation>
  </dataValidations>
  <hyperlinks>
    <hyperlink ref="M3" r:id="rId1" display="https://www.aliexpress.com/item/1005006968786576.html?spm=a2g0o.productlist.main.5.40a0573cYdg1aP&amp;algo_pvid=dd6a4b06-fa28-4187-9ad3-a5d79909949b&amp;pdp_ext_f=%7B%22order%22%3A%2261%22%2C%22eval%22%3A%221%22%2C%22fromPage%22%3A%22search%22%7D&amp;utparam-url=scene%3Asearch%7Cquery_from%3A%7Cx_object_id%3A1005006968786576%7C_p_origin_prod%3A" xr:uid="{FB804EBA-C95C-424C-9966-C9062C523860}"/>
    <hyperlink ref="M4" r:id="rId2" display="https://www.aliexpress.com/item/1005010560608475.html?spm=a2g0o.productlist.main.5.1eba2040ET3gwx&amp;algo_pvid=b5c9de02-0086-4e44-bfdb-f6458cc204b4&amp;pdp_ext_f=%7B%22order%22%3A%22968%22%2C%22eval%22%3A%221%22%2C%22fromPage%22%3A%22search%22%7D&amp;utparam-url=scene%3Asearch%7Cquery_from%3A%7Cx_object_id%3A1005010560608475%7C_p_origin_prod%3A" xr:uid="{9B6A898D-4980-4C2D-B96B-3ED687F36F03}"/>
  </hyperlink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3" orientation="landscape" r:id="rId3"/>
  <headerFooter alignWithMargins="0">
    <oddFooter>&amp;L&amp;P of &amp;N&amp;C&amp;F&amp;R&amp;D, &amp;T</oddFooter>
  </headerFooter>
  <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716661-1A52-44F6-8FFE-6E76E001BF15}">
          <x14:formula1>
            <xm:f>'Admin-Data'!$A$11:$A$15</xm:f>
          </x14:formula1>
          <xm:sqref>E2:E22</xm:sqref>
        </x14:dataValidation>
        <x14:dataValidation type="list" allowBlank="1" showInputMessage="1" showErrorMessage="1" xr:uid="{C1472298-BE7A-4EC5-83DB-F1F5F5CA8BAE}">
          <x14:formula1>
            <xm:f>'Admin-Data'!$A$2:$A$8</xm:f>
          </x14:formula1>
          <xm:sqref>B2:B22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B7D8-54A0-48F4-9D6F-5BB51E788A7C}">
  <dimension ref="A1:B15"/>
  <sheetViews>
    <sheetView workbookViewId="0">
      <selection activeCell="E31" sqref="E30:E31"/>
    </sheetView>
  </sheetViews>
  <sheetFormatPr defaultRowHeight="12.75"/>
  <cols>
    <col min="1" max="3" width="16" customWidth="1"/>
  </cols>
  <sheetData>
    <row r="1" spans="1:2" ht="13.15">
      <c r="A1" s="7" t="s">
        <v>28</v>
      </c>
    </row>
    <row r="2" spans="1:2">
      <c r="A2" s="6" t="s">
        <v>14</v>
      </c>
    </row>
    <row r="3" spans="1:2">
      <c r="A3" s="6" t="s">
        <v>29</v>
      </c>
    </row>
    <row r="4" spans="1:2">
      <c r="A4" s="6" t="s">
        <v>30</v>
      </c>
    </row>
    <row r="5" spans="1:2">
      <c r="A5" s="6" t="s">
        <v>31</v>
      </c>
    </row>
    <row r="6" spans="1:2">
      <c r="A6" s="6" t="s">
        <v>21</v>
      </c>
    </row>
    <row r="7" spans="1:2">
      <c r="A7" s="6" t="s">
        <v>32</v>
      </c>
    </row>
    <row r="8" spans="1:2">
      <c r="A8" s="6" t="s">
        <v>33</v>
      </c>
    </row>
    <row r="10" spans="1:2" ht="13.15">
      <c r="A10" s="7" t="s">
        <v>34</v>
      </c>
      <c r="B10" s="7" t="s">
        <v>6</v>
      </c>
    </row>
    <row r="11" spans="1:2">
      <c r="A11" s="6" t="s">
        <v>17</v>
      </c>
      <c r="B11">
        <v>1</v>
      </c>
    </row>
    <row r="12" spans="1:2">
      <c r="A12" s="6" t="s">
        <v>35</v>
      </c>
      <c r="B12">
        <v>1.25</v>
      </c>
    </row>
    <row r="13" spans="1:2">
      <c r="A13" s="6" t="s">
        <v>36</v>
      </c>
      <c r="B13">
        <v>1.75</v>
      </c>
    </row>
    <row r="14" spans="1:2">
      <c r="A14" s="6" t="s">
        <v>37</v>
      </c>
      <c r="B14">
        <v>2.0499999999999998</v>
      </c>
    </row>
    <row r="15" spans="1:2">
      <c r="A15" s="6" t="s">
        <v>38</v>
      </c>
      <c r="B15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530CD2C7FF04D86D426DACBEA8537" ma:contentTypeVersion="13" ma:contentTypeDescription="Create a new document." ma:contentTypeScope="" ma:versionID="6a921ff02beae1dfce32e7ce43ed8525">
  <xsd:schema xmlns:xsd="http://www.w3.org/2001/XMLSchema" xmlns:xs="http://www.w3.org/2001/XMLSchema" xmlns:p="http://schemas.microsoft.com/office/2006/metadata/properties" xmlns:ns3="433520a6-9dab-4aeb-aa4f-b493b7c3a5b0" xmlns:ns4="178dd775-c082-4ff3-b1f0-956006a3f577" targetNamespace="http://schemas.microsoft.com/office/2006/metadata/properties" ma:root="true" ma:fieldsID="29d43f8792a267867e3a37399599a2fb" ns3:_="" ns4:_="">
    <xsd:import namespace="433520a6-9dab-4aeb-aa4f-b493b7c3a5b0"/>
    <xsd:import namespace="178dd775-c082-4ff3-b1f0-956006a3f5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520a6-9dab-4aeb-aa4f-b493b7c3a5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dd775-c082-4ff3-b1f0-956006a3f5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520a6-9dab-4aeb-aa4f-b493b7c3a5b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BBEF0D-3AB2-48E4-A101-5950A7CFCEC1}"/>
</file>

<file path=customXml/itemProps2.xml><?xml version="1.0" encoding="utf-8"?>
<ds:datastoreItem xmlns:ds="http://schemas.openxmlformats.org/officeDocument/2006/customXml" ds:itemID="{8CA27127-0535-4D25-8C82-30F5CB7F945E}"/>
</file>

<file path=customXml/itemProps3.xml><?xml version="1.0" encoding="utf-8"?>
<ds:datastoreItem xmlns:ds="http://schemas.openxmlformats.org/officeDocument/2006/customXml" ds:itemID="{81A04254-564B-4620-B422-BEDC31B1DCD7}"/>
</file>

<file path=customXml/itemProps4.xml><?xml version="1.0" encoding="utf-8"?>
<ds:datastoreItem xmlns:ds="http://schemas.openxmlformats.org/officeDocument/2006/customXml" ds:itemID="{71479056-C9B2-406D-8D99-D7E15AFDAF8C}"/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Electrical &amp; Computer Engineering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Rowan Grönlund</dc:creator>
  <cp:keywords/>
  <dc:description/>
  <cp:lastModifiedBy/>
  <cp:revision/>
  <dcterms:created xsi:type="dcterms:W3CDTF">2004-05-05T23:15:27Z</dcterms:created>
  <dcterms:modified xsi:type="dcterms:W3CDTF">2026-06-10T21:00:46Z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0x0101003A1530CD2C7FF04D86D426DACBEA8537</vt:lpwstr>
  </property>
</Properties>
</file>